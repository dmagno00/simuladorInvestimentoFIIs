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gno\OneDrive\Desktop\Cursos\Dio\Excel\"/>
    </mc:Choice>
  </mc:AlternateContent>
  <xr:revisionPtr revIDLastSave="0" documentId="13_ncr:1_{8B3B2759-1B3B-482D-B33B-99DDD6937C89}" xr6:coauthVersionLast="47" xr6:coauthVersionMax="47" xr10:uidLastSave="{00000000-0000-0000-0000-000000000000}"/>
  <bookViews>
    <workbookView xWindow="-120" yWindow="-120" windowWidth="20730" windowHeight="11040" xr2:uid="{6799979A-5800-4A3E-8E11-2AD32817657D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Anos">Planilha1!$D$17</definedName>
    <definedName name="rendimentoCarteira">Planilha1!$D$12</definedName>
    <definedName name="salario">Planilha1!$D$11</definedName>
    <definedName name="sugestaoInvestimento">Planilha1!$D$13</definedName>
    <definedName name="taxa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" l="1"/>
  <c r="C37" i="1"/>
  <c r="C38" i="1"/>
  <c r="C39" i="1"/>
  <c r="C40" i="1"/>
  <c r="C35" i="1"/>
  <c r="D35" i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3" i="2"/>
  <c r="D36" i="1"/>
  <c r="D37" i="1"/>
  <c r="D38" i="1"/>
  <c r="D39" i="1"/>
  <c r="D40" i="1"/>
  <c r="D41" i="1"/>
  <c r="C32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8" i="1"/>
  <c r="D28" i="1" s="1"/>
  <c r="C23" i="1"/>
  <c r="D23" i="1" s="1"/>
</calcChain>
</file>

<file path=xl/sharedStrings.xml><?xml version="1.0" encoding="utf-8"?>
<sst xmlns="http://schemas.openxmlformats.org/spreadsheetml/2006/main" count="70" uniqueCount="36">
  <si>
    <t>INVESTIMENTO MENSAL</t>
  </si>
  <si>
    <t>Taxa de Rendimento mensal</t>
  </si>
  <si>
    <t>Patrimonio acumulado</t>
  </si>
  <si>
    <t>Dividendos mensais</t>
  </si>
  <si>
    <t>Por quantos anos?</t>
  </si>
  <si>
    <t>Quanto investir por mês?</t>
  </si>
  <si>
    <t>Quanto em 2 anos?</t>
  </si>
  <si>
    <t>Quanto em 3 anos?</t>
  </si>
  <si>
    <t>Quanto em 5 anos?</t>
  </si>
  <si>
    <t>Quanto em 10 anos?</t>
  </si>
  <si>
    <t>Quanto em 20 anos?</t>
  </si>
  <si>
    <t xml:space="preserve">Cenários </t>
  </si>
  <si>
    <t>Quanto em 30 anos?</t>
  </si>
  <si>
    <t>Dividendo</t>
  </si>
  <si>
    <t>Rendimento Carteira</t>
  </si>
  <si>
    <t>Salário</t>
  </si>
  <si>
    <t>CONFIGURAÇÕES</t>
  </si>
  <si>
    <t>Agressivo</t>
  </si>
  <si>
    <t>Conservador</t>
  </si>
  <si>
    <t>Moderado</t>
  </si>
  <si>
    <t>APORTE MENSAL</t>
  </si>
  <si>
    <t>PERFIL</t>
  </si>
  <si>
    <t>TIPO DE FIIS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</si>
  <si>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</si>
  <si>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</si>
  <si>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</si>
  <si>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</si>
  <si>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</si>
  <si>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</si>
  <si>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</si>
  <si>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%</t>
  </si>
  <si>
    <t>Perfil</t>
  </si>
  <si>
    <t>CHAVE</t>
  </si>
  <si>
    <t>Tipos de FIIS</t>
  </si>
  <si>
    <t>HOTELARIAS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</si>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</sst>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medium">
        <color indexed="64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indexed="64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 style="thin">
        <color theme="0" tint="-4.9989318521683403E-2"/>
      </top>
      <bottom style="medium">
        <color indexed="64"/>
      </bottom>
      <diagonal/>
    </border>
    <border>
      <left style="thin">
        <color theme="0" tint="-4.9989318521683403E-2"/>
      </left>
      <right style="medium">
        <color indexed="64"/>
      </right>
      <top/>
      <bottom style="thin">
        <color theme="0" tint="-4.9989318521683403E-2"/>
      </bottom>
      <diagonal/>
    </border>
    <border>
      <left style="medium">
        <color indexed="64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medium">
        <color indexed="64"/>
      </right>
      <top/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indexed="64"/>
      </bottom>
      <diagonal/>
    </border>
    <border>
      <left style="thin">
        <color theme="2"/>
      </left>
      <right style="medium">
        <color indexed="64"/>
      </right>
      <top style="thin">
        <color theme="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0" xfId="0" applyBorder="1"/>
    <xf numFmtId="0" fontId="5" fillId="0" borderId="0" xfId="0" applyFont="1"/>
    <xf numFmtId="0" fontId="0" fillId="0" borderId="0" xfId="0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67" fontId="0" fillId="0" borderId="7" xfId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2" applyNumberFormat="1" applyFont="1" applyBorder="1" applyAlignment="1">
      <alignment horizontal="center"/>
    </xf>
    <xf numFmtId="8" fontId="4" fillId="5" borderId="10" xfId="0" applyNumberFormat="1" applyFont="1" applyFill="1" applyBorder="1" applyAlignment="1">
      <alignment horizontal="center"/>
    </xf>
    <xf numFmtId="8" fontId="4" fillId="5" borderId="13" xfId="0" applyNumberFormat="1" applyFont="1" applyFill="1" applyBorder="1" applyAlignment="1">
      <alignment horizontal="center"/>
    </xf>
    <xf numFmtId="8" fontId="0" fillId="5" borderId="6" xfId="0" applyNumberFormat="1" applyFill="1" applyBorder="1" applyAlignment="1">
      <alignment horizontal="center"/>
    </xf>
    <xf numFmtId="8" fontId="0" fillId="5" borderId="14" xfId="0" applyNumberFormat="1" applyFill="1" applyBorder="1" applyAlignment="1">
      <alignment horizontal="center"/>
    </xf>
    <xf numFmtId="8" fontId="0" fillId="5" borderId="9" xfId="0" applyNumberFormat="1" applyFill="1" applyBorder="1" applyAlignment="1">
      <alignment horizontal="center"/>
    </xf>
    <xf numFmtId="8" fontId="0" fillId="5" borderId="10" xfId="0" applyNumberFormat="1" applyFill="1" applyBorder="1" applyAlignment="1">
      <alignment horizontal="center"/>
    </xf>
    <xf numFmtId="8" fontId="0" fillId="5" borderId="12" xfId="0" applyNumberFormat="1" applyFill="1" applyBorder="1" applyAlignment="1">
      <alignment horizontal="center"/>
    </xf>
    <xf numFmtId="8" fontId="0" fillId="5" borderId="13" xfId="0" applyNumberFormat="1" applyFill="1" applyBorder="1" applyAlignment="1">
      <alignment horizontal="center"/>
    </xf>
    <xf numFmtId="167" fontId="0" fillId="0" borderId="17" xfId="1" applyNumberFormat="1" applyFont="1" applyBorder="1" applyAlignment="1">
      <alignment horizontal="center"/>
    </xf>
    <xf numFmtId="10" fontId="0" fillId="0" borderId="20" xfId="2" applyNumberFormat="1" applyFont="1" applyBorder="1" applyAlignment="1">
      <alignment horizontal="center"/>
    </xf>
    <xf numFmtId="0" fontId="9" fillId="6" borderId="15" xfId="0" applyFont="1" applyFill="1" applyBorder="1" applyAlignment="1">
      <alignment horizontal="left" indent="2"/>
    </xf>
    <xf numFmtId="0" fontId="9" fillId="6" borderId="16" xfId="0" applyFont="1" applyFill="1" applyBorder="1" applyAlignment="1">
      <alignment horizontal="left" indent="2"/>
    </xf>
    <xf numFmtId="0" fontId="9" fillId="6" borderId="18" xfId="0" applyFont="1" applyFill="1" applyBorder="1" applyAlignment="1">
      <alignment horizontal="left" indent="2"/>
    </xf>
    <xf numFmtId="0" fontId="9" fillId="6" borderId="19" xfId="0" applyFont="1" applyFill="1" applyBorder="1" applyAlignment="1">
      <alignment horizontal="left" indent="2"/>
    </xf>
    <xf numFmtId="0" fontId="9" fillId="6" borderId="21" xfId="0" applyFont="1" applyFill="1" applyBorder="1" applyAlignment="1">
      <alignment horizontal="left" indent="2"/>
    </xf>
    <xf numFmtId="0" fontId="9" fillId="6" borderId="22" xfId="0" applyFont="1" applyFill="1" applyBorder="1" applyAlignment="1">
      <alignment horizontal="left" indent="2"/>
    </xf>
    <xf numFmtId="0" fontId="10" fillId="0" borderId="5" xfId="0" applyFont="1" applyBorder="1" applyAlignment="1">
      <alignment horizontal="left" indent="2"/>
    </xf>
    <xf numFmtId="0" fontId="10" fillId="0" borderId="6" xfId="0" applyFont="1" applyBorder="1" applyAlignment="1">
      <alignment horizontal="left" indent="2"/>
    </xf>
    <xf numFmtId="0" fontId="9" fillId="0" borderId="8" xfId="0" applyFont="1" applyBorder="1" applyAlignment="1">
      <alignment horizontal="left" indent="2"/>
    </xf>
    <xf numFmtId="0" fontId="9" fillId="0" borderId="9" xfId="0" applyFont="1" applyBorder="1" applyAlignment="1">
      <alignment horizontal="left" indent="2"/>
    </xf>
    <xf numFmtId="0" fontId="11" fillId="5" borderId="8" xfId="0" applyFont="1" applyFill="1" applyBorder="1" applyAlignment="1">
      <alignment horizontal="left" indent="2"/>
    </xf>
    <xf numFmtId="0" fontId="11" fillId="5" borderId="9" xfId="0" applyFont="1" applyFill="1" applyBorder="1" applyAlignment="1">
      <alignment horizontal="left" indent="2"/>
    </xf>
    <xf numFmtId="0" fontId="11" fillId="5" borderId="11" xfId="0" applyFont="1" applyFill="1" applyBorder="1" applyAlignment="1">
      <alignment horizontal="left" indent="2"/>
    </xf>
    <xf numFmtId="0" fontId="11" fillId="5" borderId="12" xfId="0" applyFont="1" applyFill="1" applyBorder="1" applyAlignment="1">
      <alignment horizontal="left" indent="2"/>
    </xf>
    <xf numFmtId="0" fontId="9" fillId="5" borderId="5" xfId="0" applyFont="1" applyFill="1" applyBorder="1" applyAlignment="1">
      <alignment horizontal="left" indent="2"/>
    </xf>
    <xf numFmtId="0" fontId="9" fillId="5" borderId="8" xfId="0" applyFont="1" applyFill="1" applyBorder="1" applyAlignment="1">
      <alignment horizontal="left" indent="2"/>
    </xf>
    <xf numFmtId="0" fontId="9" fillId="5" borderId="11" xfId="0" applyFont="1" applyFill="1" applyBorder="1" applyAlignment="1">
      <alignment horizontal="left" indent="2"/>
    </xf>
    <xf numFmtId="167" fontId="0" fillId="6" borderId="23" xfId="0" applyNumberFormat="1" applyFill="1" applyBorder="1" applyAlignment="1">
      <alignment horizontal="center"/>
    </xf>
    <xf numFmtId="0" fontId="2" fillId="2" borderId="0" xfId="3"/>
    <xf numFmtId="0" fontId="2" fillId="2" borderId="0" xfId="3" applyBorder="1" applyAlignment="1">
      <alignment horizontal="left"/>
    </xf>
    <xf numFmtId="0" fontId="2" fillId="2" borderId="0" xfId="3" applyAlignment="1">
      <alignment horizontal="center"/>
    </xf>
    <xf numFmtId="0" fontId="4" fillId="0" borderId="0" xfId="0" applyFont="1" applyAlignment="1">
      <alignment horizontal="left"/>
    </xf>
    <xf numFmtId="167" fontId="4" fillId="0" borderId="0" xfId="0" applyNumberFormat="1" applyFont="1" applyAlignment="1">
      <alignment horizontal="center"/>
    </xf>
    <xf numFmtId="9" fontId="0" fillId="0" borderId="0" xfId="2" applyNumberFormat="1" applyFont="1" applyAlignment="1">
      <alignment horizontal="center"/>
    </xf>
    <xf numFmtId="0" fontId="4" fillId="7" borderId="0" xfId="0" applyFont="1" applyFill="1"/>
    <xf numFmtId="167" fontId="4" fillId="7" borderId="0" xfId="0" applyNumberFormat="1" applyFont="1" applyFill="1"/>
    <xf numFmtId="0" fontId="3" fillId="7" borderId="0" xfId="0" applyFont="1" applyFill="1"/>
    <xf numFmtId="0" fontId="3" fillId="7" borderId="0" xfId="0" applyFont="1" applyFill="1" applyAlignment="1">
      <alignment horizontal="center"/>
    </xf>
    <xf numFmtId="167" fontId="0" fillId="5" borderId="0" xfId="0" applyNumberFormat="1" applyFill="1" applyAlignment="1">
      <alignment horizontal="center"/>
    </xf>
    <xf numFmtId="0" fontId="0" fillId="0" borderId="4" xfId="0" applyBorder="1"/>
    <xf numFmtId="9" fontId="0" fillId="0" borderId="4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2" applyFont="1" applyBorder="1" applyAlignment="1">
      <alignment horizontal="center"/>
    </xf>
    <xf numFmtId="0" fontId="5" fillId="8" borderId="24" xfId="0" applyFont="1" applyFill="1" applyBorder="1"/>
    <xf numFmtId="9" fontId="5" fillId="8" borderId="24" xfId="2" applyFont="1" applyFill="1" applyBorder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70791</xdr:rowOff>
    </xdr:from>
    <xdr:to>
      <xdr:col>3</xdr:col>
      <xdr:colOff>1143000</xdr:colOff>
      <xdr:row>8</xdr:row>
      <xdr:rowOff>100659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91D6DD-0E6A-FC94-D25D-99D6208B2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70791"/>
          <a:ext cx="5448300" cy="1611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D2FD-0A40-454E-82B6-A204615D0F3D}">
  <dimension ref="A6:F53"/>
  <sheetViews>
    <sheetView showGridLines="0" tabSelected="1" topLeftCell="A6" zoomScaleNormal="100" workbookViewId="0">
      <selection activeCell="H6" sqref="H6"/>
    </sheetView>
  </sheetViews>
  <sheetFormatPr defaultColWidth="0" defaultRowHeight="15" x14ac:dyDescent="0.25"/>
  <cols>
    <col min="1" max="1" width="9.140625" customWidth="1"/>
    <col min="2" max="2" width="36" customWidth="1"/>
    <col min="3" max="3" width="28.5703125" customWidth="1"/>
    <col min="4" max="4" width="17.5703125" customWidth="1"/>
    <col min="5" max="5" width="7.42578125" customWidth="1"/>
    <col min="6" max="6" width="9.42578125" customWidth="1"/>
    <col min="7" max="7" width="2.42578125" customWidth="1"/>
    <col min="8" max="8" width="5.7109375" customWidth="1"/>
    <col min="9" max="16383" width="9.140625" hidden="1"/>
    <col min="16384" max="16384" width="8.5703125" customWidth="1"/>
  </cols>
  <sheetData>
    <row r="6" spans="2:4" ht="16.5" customHeight="1" x14ac:dyDescent="0.25"/>
    <row r="7" spans="2:4" ht="16.5" customHeight="1" x14ac:dyDescent="0.25"/>
    <row r="8" spans="2:4" ht="16.5" customHeight="1" x14ac:dyDescent="0.25"/>
    <row r="9" spans="2:4" ht="16.5" customHeight="1" thickBot="1" x14ac:dyDescent="0.3"/>
    <row r="10" spans="2:4" ht="13.5" customHeight="1" x14ac:dyDescent="0.25">
      <c r="B10" s="8" t="s">
        <v>16</v>
      </c>
      <c r="C10" s="9"/>
      <c r="D10" s="10"/>
    </row>
    <row r="11" spans="2:4" ht="13.5" customHeight="1" x14ac:dyDescent="0.25">
      <c r="B11" s="24" t="s">
        <v>15</v>
      </c>
      <c r="C11" s="25"/>
      <c r="D11" s="22">
        <v>3000</v>
      </c>
    </row>
    <row r="12" spans="2:4" ht="13.5" customHeight="1" x14ac:dyDescent="0.25">
      <c r="B12" s="26" t="s">
        <v>14</v>
      </c>
      <c r="C12" s="27"/>
      <c r="D12" s="23">
        <v>0.01</v>
      </c>
    </row>
    <row r="13" spans="2:4" ht="15" customHeight="1" thickBot="1" x14ac:dyDescent="0.3">
      <c r="B13" s="28" t="s">
        <v>35</v>
      </c>
      <c r="C13" s="29"/>
      <c r="D13" s="41">
        <f>D11*30%</f>
        <v>900</v>
      </c>
    </row>
    <row r="14" spans="2:4" ht="15.75" thickBot="1" x14ac:dyDescent="0.3"/>
    <row r="15" spans="2:4" ht="27" thickBot="1" x14ac:dyDescent="0.3">
      <c r="B15" s="1" t="s">
        <v>0</v>
      </c>
      <c r="C15" s="6"/>
      <c r="D15" s="2"/>
    </row>
    <row r="16" spans="2:4" ht="15.75" x14ac:dyDescent="0.25">
      <c r="B16" s="30" t="s">
        <v>5</v>
      </c>
      <c r="C16" s="31"/>
      <c r="D16" s="11">
        <v>861</v>
      </c>
    </row>
    <row r="17" spans="1:4" ht="15.75" x14ac:dyDescent="0.25">
      <c r="B17" s="32" t="s">
        <v>4</v>
      </c>
      <c r="C17" s="33"/>
      <c r="D17" s="12">
        <v>10</v>
      </c>
    </row>
    <row r="18" spans="1:4" ht="15.75" x14ac:dyDescent="0.25">
      <c r="B18" s="32" t="s">
        <v>1</v>
      </c>
      <c r="C18" s="33"/>
      <c r="D18" s="13">
        <v>1.0800000000000001E-2</v>
      </c>
    </row>
    <row r="19" spans="1:4" ht="15.75" x14ac:dyDescent="0.25">
      <c r="B19" s="34" t="s">
        <v>2</v>
      </c>
      <c r="C19" s="35"/>
      <c r="D19" s="14">
        <f>FV(taxaMensal,qtdAnos*12,aporte*-1)</f>
        <v>209617.0506453829</v>
      </c>
    </row>
    <row r="20" spans="1:4" ht="16.5" thickBot="1" x14ac:dyDescent="0.3">
      <c r="B20" s="36" t="s">
        <v>3</v>
      </c>
      <c r="C20" s="37"/>
      <c r="D20" s="15">
        <f>patrimonio*rendimentoCarteira</f>
        <v>2096.1705064538291</v>
      </c>
    </row>
    <row r="21" spans="1:4" ht="15.75" thickBot="1" x14ac:dyDescent="0.3"/>
    <row r="22" spans="1:4" ht="26.25" x14ac:dyDescent="0.25">
      <c r="B22" s="1" t="s">
        <v>11</v>
      </c>
      <c r="C22" s="6"/>
      <c r="D22" s="7" t="s">
        <v>13</v>
      </c>
    </row>
    <row r="23" spans="1:4" ht="15.75" x14ac:dyDescent="0.25">
      <c r="A23" s="4">
        <v>2</v>
      </c>
      <c r="B23" s="38" t="s">
        <v>6</v>
      </c>
      <c r="C23" s="16">
        <f>FV($D$18,$A23*12,$D$16*-1)</f>
        <v>23445.773611760749</v>
      </c>
      <c r="D23" s="17">
        <f>C23*rendimentoCarteira</f>
        <v>234.45773611760751</v>
      </c>
    </row>
    <row r="24" spans="1:4" ht="15.75" x14ac:dyDescent="0.25">
      <c r="A24" s="4">
        <v>3</v>
      </c>
      <c r="B24" s="39" t="s">
        <v>7</v>
      </c>
      <c r="C24" s="18">
        <f>FV($D$18,$A24*12,$D$16*-1)</f>
        <v>37639.856430888249</v>
      </c>
      <c r="D24" s="19">
        <f>C24*rendimentoCarteira</f>
        <v>376.3985643088825</v>
      </c>
    </row>
    <row r="25" spans="1:4" ht="15.75" x14ac:dyDescent="0.25">
      <c r="A25" s="4">
        <v>5</v>
      </c>
      <c r="B25" s="39" t="s">
        <v>8</v>
      </c>
      <c r="C25" s="18">
        <f>FV($D$18,$A25*12,$D$16*-1)</f>
        <v>72155.260668321513</v>
      </c>
      <c r="D25" s="19">
        <f>C25*rendimentoCarteira</f>
        <v>721.55260668321512</v>
      </c>
    </row>
    <row r="26" spans="1:4" ht="15.75" x14ac:dyDescent="0.25">
      <c r="A26" s="4">
        <v>10</v>
      </c>
      <c r="B26" s="39" t="s">
        <v>9</v>
      </c>
      <c r="C26" s="18">
        <f>FV($D$18,$A26*12,$D$16*-1)</f>
        <v>209617.0506453829</v>
      </c>
      <c r="D26" s="19">
        <f>C26*rendimentoCarteira</f>
        <v>2096.1705064538291</v>
      </c>
    </row>
    <row r="27" spans="1:4" ht="15.75" x14ac:dyDescent="0.25">
      <c r="A27" s="4">
        <v>20</v>
      </c>
      <c r="B27" s="39" t="s">
        <v>10</v>
      </c>
      <c r="C27" s="18">
        <f>FV($D$18,$A27*12,$D$16*-1)</f>
        <v>970389.1832300286</v>
      </c>
      <c r="D27" s="19">
        <f>C27*rendimentoCarteira</f>
        <v>9703.8918323002854</v>
      </c>
    </row>
    <row r="28" spans="1:4" ht="16.5" thickBot="1" x14ac:dyDescent="0.3">
      <c r="A28" s="4">
        <v>30</v>
      </c>
      <c r="B28" s="40" t="s">
        <v>12</v>
      </c>
      <c r="C28" s="20">
        <f>FV($D$18,$A28*12,$D$16*-1)</f>
        <v>3731492.041682723</v>
      </c>
      <c r="D28" s="21">
        <f>C28*rendimentoCarteira</f>
        <v>37314.920416827234</v>
      </c>
    </row>
    <row r="31" spans="1:4" x14ac:dyDescent="0.25">
      <c r="B31" s="43" t="s">
        <v>21</v>
      </c>
      <c r="C31" s="44" t="s">
        <v>17</v>
      </c>
      <c r="D31" s="42"/>
    </row>
    <row r="32" spans="1:4" x14ac:dyDescent="0.25">
      <c r="B32" s="45" t="s">
        <v>20</v>
      </c>
      <c r="C32" s="46">
        <f>aporte</f>
        <v>861</v>
      </c>
    </row>
    <row r="33" spans="2:4" x14ac:dyDescent="0.25">
      <c r="C33" s="5"/>
    </row>
    <row r="34" spans="2:4" x14ac:dyDescent="0.25">
      <c r="B34" s="50" t="s">
        <v>22</v>
      </c>
      <c r="C34" s="51" t="s">
        <v>23</v>
      </c>
      <c r="D34" s="50" t="s">
        <v>24</v>
      </c>
    </row>
    <row r="35" spans="2:4" x14ac:dyDescent="0.25">
      <c r="B35" t="s">
        <v>25</v>
      </c>
      <c r="C35" s="47">
        <f>VLOOKUP($C$31&amp;"-"&amp;B35,Planilha2!$A:$D,4,FALSE)</f>
        <v>0.2</v>
      </c>
      <c r="D35" s="52">
        <f>C35*$C$32</f>
        <v>172.20000000000002</v>
      </c>
    </row>
    <row r="36" spans="2:4" x14ac:dyDescent="0.25">
      <c r="B36" t="s">
        <v>26</v>
      </c>
      <c r="C36" s="47">
        <f>VLOOKUP($C$31&amp;"-"&amp;B36,Planilha2!$A:$D,4,FALSE)</f>
        <v>0.2</v>
      </c>
      <c r="D36" s="52">
        <f t="shared" ref="D36:D40" si="0">C36*$C$32</f>
        <v>172.20000000000002</v>
      </c>
    </row>
    <row r="37" spans="2:4" x14ac:dyDescent="0.25">
      <c r="B37" t="s">
        <v>27</v>
      </c>
      <c r="C37" s="47">
        <f>VLOOKUP($C$31&amp;"-"&amp;B37,Planilha2!$A:$D,4,FALSE)</f>
        <v>0.15</v>
      </c>
      <c r="D37" s="52">
        <f t="shared" si="0"/>
        <v>129.15</v>
      </c>
    </row>
    <row r="38" spans="2:4" x14ac:dyDescent="0.25">
      <c r="B38" t="s">
        <v>28</v>
      </c>
      <c r="C38" s="47">
        <f>VLOOKUP($C$31&amp;"-"&amp;B38,Planilha2!$A:$D,4,FALSE)</f>
        <v>0.15</v>
      </c>
      <c r="D38" s="52">
        <f t="shared" si="0"/>
        <v>129.15</v>
      </c>
    </row>
    <row r="39" spans="2:4" x14ac:dyDescent="0.25">
      <c r="B39" t="s">
        <v>29</v>
      </c>
      <c r="C39" s="47">
        <f>VLOOKUP($C$31&amp;"-"&amp;B39,Planilha2!$A:$D,4,FALSE)</f>
        <v>0.2</v>
      </c>
      <c r="D39" s="52">
        <f t="shared" si="0"/>
        <v>172.20000000000002</v>
      </c>
    </row>
    <row r="40" spans="2:4" ht="15.75" thickBot="1" x14ac:dyDescent="0.3">
      <c r="B40" s="53" t="s">
        <v>34</v>
      </c>
      <c r="C40" s="47">
        <f>VLOOKUP($C$31&amp;"-"&amp;B40,Planilha2!$A:$D,4,FALSE)</f>
        <v>0.1</v>
      </c>
      <c r="D40" s="52">
        <f t="shared" si="0"/>
        <v>86.100000000000009</v>
      </c>
    </row>
    <row r="41" spans="2:4" x14ac:dyDescent="0.25">
      <c r="B41" s="48"/>
      <c r="C41" s="48"/>
      <c r="D41" s="49">
        <f>SUM(D35:D40)</f>
        <v>861.00000000000011</v>
      </c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</sheetData>
  <mergeCells count="11">
    <mergeCell ref="B19:C19"/>
    <mergeCell ref="B20:C20"/>
    <mergeCell ref="B10:D10"/>
    <mergeCell ref="B11:C11"/>
    <mergeCell ref="B12:C12"/>
    <mergeCell ref="B13:C13"/>
    <mergeCell ref="B22:C22"/>
    <mergeCell ref="B15:D15"/>
    <mergeCell ref="B16:C16"/>
    <mergeCell ref="B17:C17"/>
    <mergeCell ref="B18:C18"/>
  </mergeCells>
  <dataValidations count="1">
    <dataValidation type="list" allowBlank="1" showInputMessage="1" showErrorMessage="1" sqref="C31" xr:uid="{17DDB419-36BD-4B4F-A577-A5EA384148D5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4C95D-AE48-46D7-966A-DC9D879D63D8}">
  <dimension ref="A1:F20"/>
  <sheetViews>
    <sheetView workbookViewId="0">
      <selection activeCell="C13" sqref="C13"/>
    </sheetView>
  </sheetViews>
  <sheetFormatPr defaultRowHeight="15" x14ac:dyDescent="0.25"/>
  <cols>
    <col min="1" max="1" width="30.85546875" bestFit="1" customWidth="1"/>
    <col min="2" max="2" width="18.5703125" bestFit="1" customWidth="1"/>
    <col min="3" max="3" width="20.28515625" customWidth="1"/>
  </cols>
  <sheetData>
    <row r="1" spans="1:6" x14ac:dyDescent="0.25">
      <c r="A1" s="3"/>
      <c r="B1" s="3"/>
      <c r="C1" s="3"/>
      <c r="D1" s="3"/>
      <c r="E1" s="3"/>
    </row>
    <row r="2" spans="1:6" x14ac:dyDescent="0.25">
      <c r="A2" s="57" t="s">
        <v>32</v>
      </c>
      <c r="B2" s="57" t="s">
        <v>31</v>
      </c>
      <c r="C2" s="57" t="s">
        <v>33</v>
      </c>
      <c r="D2" s="58" t="s">
        <v>30</v>
      </c>
      <c r="E2" s="3"/>
    </row>
    <row r="3" spans="1:6" x14ac:dyDescent="0.25">
      <c r="A3" s="3" t="str">
        <f>B3&amp;"-"&amp;C3</f>
        <v>Conservador-PAPEL</v>
      </c>
      <c r="B3" s="3" t="s">
        <v>18</v>
      </c>
      <c r="C3" s="3" t="s">
        <v>25</v>
      </c>
      <c r="D3" s="56">
        <v>0.35</v>
      </c>
      <c r="E3" s="3"/>
    </row>
    <row r="4" spans="1:6" x14ac:dyDescent="0.25">
      <c r="A4" s="3" t="str">
        <f t="shared" ref="A4:A20" si="0">B4&amp;"-"&amp;C4</f>
        <v>Conservador-TIJOLO</v>
      </c>
      <c r="B4" s="3" t="s">
        <v>18</v>
      </c>
      <c r="C4" s="3" t="s">
        <v>26</v>
      </c>
      <c r="D4" s="56">
        <v>0.45</v>
      </c>
      <c r="E4" s="3"/>
    </row>
    <row r="5" spans="1:6" x14ac:dyDescent="0.25">
      <c r="A5" s="3" t="str">
        <f t="shared" si="0"/>
        <v>Conservador-HIBRIDOS</v>
      </c>
      <c r="B5" s="3" t="s">
        <v>18</v>
      </c>
      <c r="C5" s="3" t="s">
        <v>27</v>
      </c>
      <c r="D5" s="56">
        <v>0.1</v>
      </c>
      <c r="E5" s="3"/>
    </row>
    <row r="6" spans="1:6" x14ac:dyDescent="0.25">
      <c r="A6" s="3" t="str">
        <f t="shared" si="0"/>
        <v>Conservador-FOFs</v>
      </c>
      <c r="B6" s="3" t="s">
        <v>18</v>
      </c>
      <c r="C6" s="3" t="s">
        <v>28</v>
      </c>
      <c r="D6" s="56">
        <v>0.1</v>
      </c>
      <c r="E6" s="3"/>
    </row>
    <row r="7" spans="1:6" x14ac:dyDescent="0.25">
      <c r="A7" s="3" t="str">
        <f t="shared" si="0"/>
        <v>Conservador-DESENVOLVIMENTO</v>
      </c>
      <c r="B7" s="3" t="s">
        <v>18</v>
      </c>
      <c r="C7" s="3" t="s">
        <v>29</v>
      </c>
      <c r="D7" s="56">
        <v>0</v>
      </c>
      <c r="E7" s="3"/>
    </row>
    <row r="8" spans="1:6" ht="15.75" thickBot="1" x14ac:dyDescent="0.3">
      <c r="A8" s="53" t="str">
        <f t="shared" si="0"/>
        <v>Conservador-HOTELARIAS</v>
      </c>
      <c r="B8" s="53" t="s">
        <v>18</v>
      </c>
      <c r="C8" s="53" t="s">
        <v>34</v>
      </c>
      <c r="D8" s="54">
        <v>0</v>
      </c>
      <c r="E8" s="3"/>
    </row>
    <row r="9" spans="1:6" x14ac:dyDescent="0.25">
      <c r="A9" s="3" t="str">
        <f t="shared" si="0"/>
        <v>Moderado-PAPEL</v>
      </c>
      <c r="B9" s="3" t="s">
        <v>19</v>
      </c>
      <c r="C9" s="3" t="s">
        <v>25</v>
      </c>
      <c r="D9" s="55">
        <v>0.35</v>
      </c>
    </row>
    <row r="10" spans="1:6" x14ac:dyDescent="0.25">
      <c r="A10" s="3" t="str">
        <f t="shared" si="0"/>
        <v>Moderado-TIJOLO</v>
      </c>
      <c r="B10" s="3" t="s">
        <v>19</v>
      </c>
      <c r="C10" s="3" t="s">
        <v>26</v>
      </c>
      <c r="D10" s="55">
        <v>0.3</v>
      </c>
    </row>
    <row r="11" spans="1:6" x14ac:dyDescent="0.25">
      <c r="A11" s="3" t="str">
        <f t="shared" si="0"/>
        <v>Moderado-HIBRIDOS</v>
      </c>
      <c r="B11" s="3" t="s">
        <v>19</v>
      </c>
      <c r="C11" s="3" t="s">
        <v>27</v>
      </c>
      <c r="D11" s="55">
        <v>0.05</v>
      </c>
      <c r="F11" s="3"/>
    </row>
    <row r="12" spans="1:6" x14ac:dyDescent="0.25">
      <c r="A12" s="3" t="str">
        <f t="shared" si="0"/>
        <v>Moderado-FOFs</v>
      </c>
      <c r="B12" s="3" t="s">
        <v>19</v>
      </c>
      <c r="C12" s="3" t="s">
        <v>28</v>
      </c>
      <c r="D12" s="55">
        <v>0.1</v>
      </c>
    </row>
    <row r="13" spans="1:6" x14ac:dyDescent="0.25">
      <c r="A13" s="3" t="str">
        <f t="shared" si="0"/>
        <v>Moderado-DESENVOLVIMENTO</v>
      </c>
      <c r="B13" s="3" t="s">
        <v>19</v>
      </c>
      <c r="C13" s="3" t="s">
        <v>29</v>
      </c>
      <c r="D13" s="55">
        <v>0.1</v>
      </c>
    </row>
    <row r="14" spans="1:6" ht="15.75" thickBot="1" x14ac:dyDescent="0.3">
      <c r="A14" s="53" t="str">
        <f t="shared" si="0"/>
        <v>Moderado-HOTELARIAS</v>
      </c>
      <c r="B14" s="53" t="s">
        <v>19</v>
      </c>
      <c r="C14" s="53" t="s">
        <v>34</v>
      </c>
      <c r="D14" s="54">
        <v>0.1</v>
      </c>
    </row>
    <row r="15" spans="1:6" x14ac:dyDescent="0.25">
      <c r="A15" s="3" t="str">
        <f t="shared" si="0"/>
        <v>Agressivo-PAPEL</v>
      </c>
      <c r="B15" s="3" t="s">
        <v>17</v>
      </c>
      <c r="C15" s="3" t="s">
        <v>25</v>
      </c>
      <c r="D15" s="56">
        <v>0.2</v>
      </c>
    </row>
    <row r="16" spans="1:6" x14ac:dyDescent="0.25">
      <c r="A16" s="3" t="str">
        <f t="shared" si="0"/>
        <v>Agressivo-TIJOLO</v>
      </c>
      <c r="B16" s="3" t="s">
        <v>17</v>
      </c>
      <c r="C16" s="3" t="s">
        <v>26</v>
      </c>
      <c r="D16" s="56">
        <v>0.2</v>
      </c>
    </row>
    <row r="17" spans="1:4" x14ac:dyDescent="0.25">
      <c r="A17" s="3" t="str">
        <f t="shared" si="0"/>
        <v>Agressivo-HIBRIDOS</v>
      </c>
      <c r="B17" s="3" t="s">
        <v>17</v>
      </c>
      <c r="C17" s="3" t="s">
        <v>27</v>
      </c>
      <c r="D17" s="56">
        <v>0.15</v>
      </c>
    </row>
    <row r="18" spans="1:4" x14ac:dyDescent="0.25">
      <c r="A18" s="3" t="str">
        <f t="shared" si="0"/>
        <v>Agressivo-FOFs</v>
      </c>
      <c r="B18" s="3" t="s">
        <v>17</v>
      </c>
      <c r="C18" s="3" t="s">
        <v>28</v>
      </c>
      <c r="D18" s="56">
        <v>0.15</v>
      </c>
    </row>
    <row r="19" spans="1:4" x14ac:dyDescent="0.25">
      <c r="A19" s="3" t="str">
        <f t="shared" si="0"/>
        <v>Agressivo-DESENVOLVIMENTO</v>
      </c>
      <c r="B19" s="3" t="s">
        <v>17</v>
      </c>
      <c r="C19" s="3" t="s">
        <v>29</v>
      </c>
      <c r="D19" s="56">
        <v>0.2</v>
      </c>
    </row>
    <row r="20" spans="1:4" ht="15.75" thickBot="1" x14ac:dyDescent="0.3">
      <c r="A20" s="53" t="str">
        <f t="shared" si="0"/>
        <v>Agressivo-HOTELARIAS</v>
      </c>
      <c r="B20" s="53" t="s">
        <v>17</v>
      </c>
      <c r="C20" s="53" t="s">
        <v>34</v>
      </c>
      <c r="D20" s="5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qtdAnos</vt:lpstr>
      <vt:lpstr>rendimentoCarteira</vt:lpstr>
      <vt:lpstr>salario</vt:lpstr>
      <vt:lpstr>sugestaoInvestimento</vt:lpstr>
      <vt:lpstr>taxaMensal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Magno</dc:creator>
  <cp:lastModifiedBy>Diego Magno</cp:lastModifiedBy>
  <dcterms:created xsi:type="dcterms:W3CDTF">2026-02-14T16:19:50Z</dcterms:created>
  <dcterms:modified xsi:type="dcterms:W3CDTF">2026-02-14T21:06:40Z</dcterms:modified>
</cp:coreProperties>
</file>